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in\OneDrive\Documentos\Ingeniería en Sistemas\Segundo Semestre 2,025\Ciencia de Datos\"/>
    </mc:Choice>
  </mc:AlternateContent>
  <xr:revisionPtr revIDLastSave="0" documentId="8_{E054CC53-0B73-4C1A-B8B4-E1DF1B39761E}" xr6:coauthVersionLast="47" xr6:coauthVersionMax="47" xr10:uidLastSave="{00000000-0000-0000-0000-000000000000}"/>
  <bookViews>
    <workbookView xWindow="-108" yWindow="-108" windowWidth="23256" windowHeight="13896" activeTab="4" xr2:uid="{F2BB4DCB-72CF-4164-8A51-878867A307C6}"/>
  </bookViews>
  <sheets>
    <sheet name="Datos" sheetId="1" r:id="rId1"/>
    <sheet name="ejemplos" sheetId="2" r:id="rId2"/>
    <sheet name="chueca" sheetId="3" r:id="rId3"/>
    <sheet name="EscalaCalificaciones" sheetId="4" r:id="rId4"/>
    <sheet name="ETAS 2018" sheetId="6" r:id="rId5"/>
    <sheet name="Hoja5" sheetId="5" r:id="rId6"/>
  </sheets>
  <definedNames>
    <definedName name="DatosExternos_1" localSheetId="4" hidden="1">'ETAS 2018'!$A$1:$E$31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4CAD79-44CD-4D35-8ECD-32F41F413D01}" keepAlive="1" name="Consulta - ETAS 2018" description="Conexión a la consulta 'ETAS 2018' en el libro." type="5" refreshedVersion="8" background="1" saveData="1">
    <dbPr connection="Provider=Microsoft.Mashup.OleDb.1;Data Source=$Workbook$;Location=&quot;ETAS 2018&quot;;Extended Properties=&quot;&quot;" command="SELECT * FROM [ETAS 2018]"/>
  </connection>
</connections>
</file>

<file path=xl/sharedStrings.xml><?xml version="1.0" encoding="utf-8"?>
<sst xmlns="http://schemas.openxmlformats.org/spreadsheetml/2006/main" count="176" uniqueCount="143">
  <si>
    <t>Departamento</t>
  </si>
  <si>
    <t>Suchitepéquez</t>
  </si>
  <si>
    <t>Retalhuleu</t>
  </si>
  <si>
    <t>Escuintla</t>
  </si>
  <si>
    <t>Baja Verapaz</t>
  </si>
  <si>
    <t>Zacapa</t>
  </si>
  <si>
    <t>Izabal</t>
  </si>
  <si>
    <t>Chiquimula</t>
  </si>
  <si>
    <t>Alta Verapaz</t>
  </si>
  <si>
    <t>Jutiapa</t>
  </si>
  <si>
    <t>Jalapa</t>
  </si>
  <si>
    <t>Petén</t>
  </si>
  <si>
    <t>San Marcos</t>
  </si>
  <si>
    <t>Sololá</t>
  </si>
  <si>
    <t>Guatemala</t>
  </si>
  <si>
    <t>Chimaltenango</t>
  </si>
  <si>
    <t>Santa Rosa</t>
  </si>
  <si>
    <t>Huehuetenango</t>
  </si>
  <si>
    <t>Quiché</t>
  </si>
  <si>
    <t>Totonicapán</t>
  </si>
  <si>
    <t>Sacatepéquez</t>
  </si>
  <si>
    <t>El Progreso</t>
  </si>
  <si>
    <t>Quetzaltenango</t>
  </si>
  <si>
    <t>Agravios</t>
  </si>
  <si>
    <t>IVA</t>
  </si>
  <si>
    <t>Dureza Rockwell C</t>
  </si>
  <si>
    <t>Conversión de dureza aproximada de aceros no austeníticos de acuerdo con la norma .A51'M E140</t>
  </si>
  <si>
    <t>Todos los valores deben considerarse como aproximados. lios señalados C) están fuera del rango recomendado</t>
  </si>
  <si>
    <t>C</t>
  </si>
  <si>
    <t>A</t>
  </si>
  <si>
    <t>D</t>
  </si>
  <si>
    <t>15N</t>
  </si>
  <si>
    <t>.30N</t>
  </si>
  <si>
    <t>45N</t>
  </si>
  <si>
    <t>Dureza Vickers</t>
  </si>
  <si>
    <t>Dureto Knoop</t>
  </si>
  <si>
    <t>reza Brinell</t>
  </si>
  <si>
    <t>150 Kp</t>
  </si>
  <si>
    <t>60 Kp</t>
  </si>
  <si>
    <t>15Kp</t>
  </si>
  <si>
    <t>30 Kp</t>
  </si>
  <si>
    <t>45 Kp</t>
  </si>
  <si>
    <t>Diama te</t>
  </si>
  <si>
    <t>Diamante</t>
  </si>
  <si>
    <t>50ogr</t>
  </si>
  <si>
    <t>30.00Kp</t>
  </si>
  <si>
    <t>bola de omm</t>
  </si>
  <si>
    <t>84-4</t>
  </si>
  <si>
    <t>84-5</t>
  </si>
  <si>
    <t>75-4</t>
  </si>
  <si>
    <t>7.3-3</t>
  </si>
  <si>
    <t>83-9</t>
  </si>
  <si>
    <t>74-5</t>
  </si>
  <si>
    <t>739•</t>
  </si>
  <si>
    <t>83-4</t>
  </si>
  <si>
    <t>91,8</t>
  </si>
  <si>
    <t>722•</t>
  </si>
  <si>
    <t>79-3.</t>
  </si>
  <si>
    <t>688'</t>
  </si>
  <si>
    <t>67-7</t>
  </si>
  <si>
    <t>670'</t>
  </si>
  <si>
    <t>77-5</t>
  </si>
  <si>
    <t>69,9</t>
  </si>
  <si>
    <t>65-5</t>
  </si>
  <si>
    <t>634•</t>
  </si>
  <si>
    <t>89-3</t>
  </si>
  <si>
    <t>75-7</t>
  </si>
  <si>
    <t>64-3</t>
  </si>
  <si>
    <t>73-9</t>
  </si>
  <si>
    <t>87-9</t>
  </si>
  <si>
    <t>60,9</t>
  </si>
  <si>
    <t>FA</t>
  </si>
  <si>
    <t>87-4</t>
  </si>
  <si>
    <t>65-4</t>
  </si>
  <si>
    <t>57-4</t>
  </si>
  <si>
    <t>85-9</t>
  </si>
  <si>
    <t>75-9</t>
  </si>
  <si>
    <t>85-5</t>
  </si>
  <si>
    <t>74-7</t>
  </si>
  <si>
    <t>83-5</t>
  </si>
  <si>
    <t>57-7</t>
  </si>
  <si>
    <t>71,5</t>
  </si>
  <si>
    <t>45-5</t>
  </si>
  <si>
    <t>44-3</t>
  </si>
  <si>
    <t>55-4</t>
  </si>
  <si>
    <t>80,4</t>
  </si>
  <si>
    <t>69-9</t>
  </si>
  <si>
    <t>55-9</t>
  </si>
  <si>
    <t>67-9</t>
  </si>
  <si>
    <t>53-3</t>
  </si>
  <si>
    <t>34-9</t>
  </si>
  <si>
    <t>'311</t>
  </si>
  <si>
    <t>33-7</t>
  </si>
  <si>
    <t>65-3</t>
  </si>
  <si>
    <t>30-1</t>
  </si>
  <si>
    <t>7.3-9</t>
  </si>
  <si>
    <t>7.3g</t>
  </si>
  <si>
    <t>63-3</t>
  </si>
  <si>
    <t>45-9</t>
  </si>
  <si>
    <t>25-5</t>
  </si>
  <si>
    <t>24-3</t>
  </si>
  <si>
    <t>40.)</t>
  </si>
  <si>
    <t>69-4</t>
  </si>
  <si>
    <t>Tabla obtenidaenhtt</t>
  </si>
  <si>
    <t>u_seom</t>
  </si>
  <si>
    <t>(Sion chart htm</t>
  </si>
  <si>
    <t>Escala Calificaciones</t>
  </si>
  <si>
    <t>Anterior</t>
  </si>
  <si>
    <t>0 - Re robado</t>
  </si>
  <si>
    <t>1 - Insuficiente</t>
  </si>
  <si>
    <t>1 y 2 - Insuficiente</t>
  </si>
  <si>
    <t>2 - Insuficiente</t>
  </si>
  <si>
    <t>3 y 4 - Insuficiente</t>
  </si>
  <si>
    <t>3 - Insuficiente</t>
  </si>
  <si>
    <t>5 - Insuficiente</t>
  </si>
  <si>
    <t>4 - Suficiente</t>
  </si>
  <si>
    <t>6-A robado</t>
  </si>
  <si>
    <t>5 — Regular</t>
  </si>
  <si>
    <t>7 - Bueno</t>
  </si>
  <si>
    <t>6 - Regular</t>
  </si>
  <si>
    <t>8 — Muy Bueno</t>
  </si>
  <si>
    <t>8- Muy Bueno</t>
  </si>
  <si>
    <t>8 —Muy Bueno</t>
  </si>
  <si>
    <t>9 - Distin uido</t>
  </si>
  <si>
    <t>9 - Distinguido</t>
  </si>
  <si>
    <t>9- Distinguido</t>
  </si>
  <si>
    <t>10 — Sobresaliente</t>
  </si>
  <si>
    <t>AREA DE SALUD</t>
  </si>
  <si>
    <t>Casos 2017</t>
  </si>
  <si>
    <t>Tasas 2017</t>
  </si>
  <si>
    <t>Casos 2018</t>
  </si>
  <si>
    <t>Tasas 2018</t>
  </si>
  <si>
    <t>Ixcán</t>
  </si>
  <si>
    <t>Ixil</t>
  </si>
  <si>
    <t>Total País</t>
  </si>
  <si>
    <t>Petén Sur Occidental</t>
  </si>
  <si>
    <t>Petén Sur Oriental</t>
  </si>
  <si>
    <t>El Quiche</t>
  </si>
  <si>
    <t>Petén Norte</t>
  </si>
  <si>
    <t>Guatemala Central</t>
  </si>
  <si>
    <t>Guatemala Nor Occidente</t>
  </si>
  <si>
    <t>Guatemala Nor Oriente</t>
  </si>
  <si>
    <t>Guatemala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</si>
</sst>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B7896AC-9FDD-4553-8B9F-FF5F57B03D1C}" autoFormatId="16" applyNumberFormats="0" applyBorderFormats="0" applyFontFormats="0" applyPatternFormats="0" applyAlignmentFormats="0" applyWidthHeightFormats="0">
  <queryTableRefresh nextId="6">
    <queryTableFields count="5">
      <queryTableField id="1" name="AREA DE SALUD" tableColumnId="1"/>
      <queryTableField id="2" name="Casos 2017" tableColumnId="2"/>
      <queryTableField id="3" name="Tasas 2017" tableColumnId="3"/>
      <queryTableField id="4" name="Casos 2018" tableColumnId="4"/>
      <queryTableField id="5" name="Tasas 2018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5AA5A-5CF8-4B70-B21A-FDE8FDBB68C0}" name="Agravios" displayName="Agravios" ref="A1:C23">
  <autoFilter ref="A1:C23" xr:uid="{5BE5AA5A-5CF8-4B70-B21A-FDE8FDBB68C0}"/>
  <tableColumns count="3">
    <tableColumn id="1" xr3:uid="{5C089E9F-2F56-4CE8-BCAC-1B0CBA0CE51A}" name="Departamento" totalsRowLabel="Total"/>
    <tableColumn id="2" xr3:uid="{0508187A-FEF7-4723-B41B-6327E9472BB2}" name="Agravios"/>
    <tableColumn id="3" xr3:uid="{C0DC5DAE-A10E-4F13-9BDD-752B75B2F5AB}" name="IVA" totalsRowFunction="sum" dataDxfId="1">
      <calculatedColumnFormula>Agravios[[#This Row],[Agravios]]*0.12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29198E-3F6E-48A1-8B40-DCCD56115D1F}" name="ETAS_2018" displayName="ETAS_2018" ref="A1:E31" tableType="queryTable" totalsRowShown="0">
  <autoFilter ref="A1:E31" xr:uid="{1E29198E-3F6E-48A1-8B40-DCCD56115D1F}"/>
  <tableColumns count="5">
    <tableColumn id="1" xr3:uid="{2B2D6A1F-50B9-4ABC-86FA-5FBC2FE19D19}" uniqueName="1" name="AREA DE SALUD" queryTableFieldId="1" dataDxfId="0"/>
    <tableColumn id="2" xr3:uid="{F1999426-5A09-4BBE-9A14-A7A0C731D387}" uniqueName="2" name="Casos 2017" queryTableFieldId="2"/>
    <tableColumn id="3" xr3:uid="{51995B96-0399-4921-AB26-D8EEE5AD7EA2}" uniqueName="3" name="Tasas 2017" queryTableFieldId="3"/>
    <tableColumn id="4" xr3:uid="{D2DBF0E7-A150-463B-B075-F6CFD5653EF0}" uniqueName="4" name="Casos 2018" queryTableFieldId="4"/>
    <tableColumn id="5" xr3:uid="{EDCF47C6-EED7-48AE-B459-8D5334730919}" uniqueName="5" name="Tasas 2018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70FC-18BB-46F0-AFCD-25B211EF237F}">
  <dimension ref="A1:C23"/>
  <sheetViews>
    <sheetView workbookViewId="0">
      <selection activeCell="B9" sqref="B9"/>
    </sheetView>
  </sheetViews>
  <sheetFormatPr baseColWidth="10" defaultRowHeight="14.4" x14ac:dyDescent="0.3"/>
  <cols>
    <col min="1" max="1" width="18.88671875" customWidth="1"/>
    <col min="2" max="2" width="13.5546875" customWidth="1"/>
  </cols>
  <sheetData>
    <row r="1" spans="1:3" x14ac:dyDescent="0.3">
      <c r="A1" t="s">
        <v>0</v>
      </c>
      <c r="B1" t="s">
        <v>23</v>
      </c>
      <c r="C1" t="s">
        <v>24</v>
      </c>
    </row>
    <row r="2" spans="1:3" x14ac:dyDescent="0.3">
      <c r="A2" t="s">
        <v>21</v>
      </c>
      <c r="B2">
        <v>152.30000000000001</v>
      </c>
      <c r="C2">
        <f>Agravios[[#This Row],[Agravios]]*0.12</f>
        <v>18.276</v>
      </c>
    </row>
    <row r="3" spans="1:3" x14ac:dyDescent="0.3">
      <c r="A3" t="s">
        <v>1</v>
      </c>
      <c r="B3">
        <v>124.5</v>
      </c>
      <c r="C3">
        <f>Agravios[[#This Row],[Agravios]]*0.12</f>
        <v>14.94</v>
      </c>
    </row>
    <row r="4" spans="1:3" x14ac:dyDescent="0.3">
      <c r="A4" t="s">
        <v>2</v>
      </c>
      <c r="B4">
        <v>122.6</v>
      </c>
      <c r="C4">
        <f>Agravios[[#This Row],[Agravios]]*0.12</f>
        <v>14.711999999999998</v>
      </c>
    </row>
    <row r="5" spans="1:3" x14ac:dyDescent="0.3">
      <c r="A5" t="s">
        <v>3</v>
      </c>
      <c r="B5">
        <v>108.8</v>
      </c>
      <c r="C5">
        <f>Agravios[[#This Row],[Agravios]]*0.12</f>
        <v>13.055999999999999</v>
      </c>
    </row>
    <row r="6" spans="1:3" x14ac:dyDescent="0.3">
      <c r="A6" t="s">
        <v>4</v>
      </c>
      <c r="B6">
        <v>93.4</v>
      </c>
      <c r="C6">
        <f>Agravios[[#This Row],[Agravios]]*0.12</f>
        <v>11.208</v>
      </c>
    </row>
    <row r="7" spans="1:3" x14ac:dyDescent="0.3">
      <c r="A7" t="s">
        <v>5</v>
      </c>
      <c r="B7">
        <v>91.5</v>
      </c>
      <c r="C7">
        <f>Agravios[[#This Row],[Agravios]]*0.12</f>
        <v>10.98</v>
      </c>
    </row>
    <row r="8" spans="1:3" x14ac:dyDescent="0.3">
      <c r="A8" t="s">
        <v>6</v>
      </c>
      <c r="B8">
        <v>78.2</v>
      </c>
      <c r="C8">
        <f>Agravios[[#This Row],[Agravios]]*0.12</f>
        <v>9.3840000000000003</v>
      </c>
    </row>
    <row r="9" spans="1:3" x14ac:dyDescent="0.3">
      <c r="A9" t="s">
        <v>7</v>
      </c>
      <c r="B9">
        <v>68.7</v>
      </c>
      <c r="C9">
        <f>Agravios[[#This Row],[Agravios]]*0.12</f>
        <v>8.2439999999999998</v>
      </c>
    </row>
    <row r="10" spans="1:3" x14ac:dyDescent="0.3">
      <c r="A10" t="s">
        <v>8</v>
      </c>
      <c r="B10">
        <v>65.3</v>
      </c>
      <c r="C10">
        <f>Agravios[[#This Row],[Agravios]]*0.12</f>
        <v>7.8359999999999994</v>
      </c>
    </row>
    <row r="11" spans="1:3" x14ac:dyDescent="0.3">
      <c r="A11" t="s">
        <v>9</v>
      </c>
      <c r="B11">
        <v>62.1</v>
      </c>
      <c r="C11">
        <f>Agravios[[#This Row],[Agravios]]*0.12</f>
        <v>7.452</v>
      </c>
    </row>
    <row r="12" spans="1:3" x14ac:dyDescent="0.3">
      <c r="A12" t="s">
        <v>22</v>
      </c>
      <c r="B12">
        <v>60.3</v>
      </c>
      <c r="C12">
        <f>Agravios[[#This Row],[Agravios]]*0.12</f>
        <v>7.2359999999999998</v>
      </c>
    </row>
    <row r="13" spans="1:3" x14ac:dyDescent="0.3">
      <c r="A13" t="s">
        <v>10</v>
      </c>
      <c r="B13">
        <v>59.5</v>
      </c>
      <c r="C13">
        <f>Agravios[[#This Row],[Agravios]]*0.12</f>
        <v>7.14</v>
      </c>
    </row>
    <row r="14" spans="1:3" x14ac:dyDescent="0.3">
      <c r="A14" t="s">
        <v>11</v>
      </c>
      <c r="B14">
        <v>58.3</v>
      </c>
      <c r="C14">
        <f>Agravios[[#This Row],[Agravios]]*0.12</f>
        <v>6.9959999999999996</v>
      </c>
    </row>
    <row r="15" spans="1:3" x14ac:dyDescent="0.3">
      <c r="A15" t="s">
        <v>12</v>
      </c>
      <c r="B15">
        <v>55.5</v>
      </c>
      <c r="C15">
        <f>Agravios[[#This Row],[Agravios]]*0.12</f>
        <v>6.66</v>
      </c>
    </row>
    <row r="16" spans="1:3" x14ac:dyDescent="0.3">
      <c r="A16" t="s">
        <v>13</v>
      </c>
      <c r="B16">
        <v>54.1</v>
      </c>
      <c r="C16">
        <f>Agravios[[#This Row],[Agravios]]*0.12</f>
        <v>6.492</v>
      </c>
    </row>
    <row r="17" spans="1:3" x14ac:dyDescent="0.3">
      <c r="A17" t="s">
        <v>14</v>
      </c>
      <c r="B17">
        <v>53.6</v>
      </c>
      <c r="C17">
        <f>Agravios[[#This Row],[Agravios]]*0.12</f>
        <v>6.4319999999999995</v>
      </c>
    </row>
    <row r="18" spans="1:3" x14ac:dyDescent="0.3">
      <c r="A18" t="s">
        <v>15</v>
      </c>
      <c r="B18">
        <v>48.6</v>
      </c>
      <c r="C18">
        <f>Agravios[[#This Row],[Agravios]]*0.12</f>
        <v>5.8319999999999999</v>
      </c>
    </row>
    <row r="19" spans="1:3" x14ac:dyDescent="0.3">
      <c r="A19" t="s">
        <v>16</v>
      </c>
      <c r="B19">
        <v>44.9</v>
      </c>
      <c r="C19">
        <f>Agravios[[#This Row],[Agravios]]*0.12</f>
        <v>5.3879999999999999</v>
      </c>
    </row>
    <row r="20" spans="1:3" x14ac:dyDescent="0.3">
      <c r="A20" t="s">
        <v>17</v>
      </c>
      <c r="B20">
        <v>42</v>
      </c>
      <c r="C20">
        <f>Agravios[[#This Row],[Agravios]]*0.12</f>
        <v>5.04</v>
      </c>
    </row>
    <row r="21" spans="1:3" x14ac:dyDescent="0.3">
      <c r="A21" t="s">
        <v>18</v>
      </c>
      <c r="B21">
        <v>39.200000000000003</v>
      </c>
      <c r="C21">
        <f>Agravios[[#This Row],[Agravios]]*0.12</f>
        <v>4.7039999999999997</v>
      </c>
    </row>
    <row r="22" spans="1:3" x14ac:dyDescent="0.3">
      <c r="A22" t="s">
        <v>19</v>
      </c>
      <c r="B22">
        <v>33.4</v>
      </c>
      <c r="C22">
        <f>Agravios[[#This Row],[Agravios]]*0.12</f>
        <v>4.008</v>
      </c>
    </row>
    <row r="23" spans="1:3" x14ac:dyDescent="0.3">
      <c r="A23" t="s">
        <v>20</v>
      </c>
      <c r="B23">
        <v>12.5</v>
      </c>
      <c r="C23">
        <f>Agravios[[#This Row],[Agravios]]*0.12</f>
        <v>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501E-6D7B-465C-A2FD-BDB6DE786CB1}">
  <dimension ref="A1"/>
  <sheetViews>
    <sheetView workbookViewId="0"/>
  </sheetViews>
  <sheetFormatPr baseColWidth="10" defaultRowHeight="14.4" x14ac:dyDescent="0.3"/>
  <cols>
    <col min="1" max="1" width="15.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BF2A-4AF9-430E-AF32-3AEC5B08CE43}">
  <dimension ref="A1:I57"/>
  <sheetViews>
    <sheetView workbookViewId="0">
      <selection sqref="A1:I57"/>
    </sheetView>
  </sheetViews>
  <sheetFormatPr baseColWidth="10" defaultRowHeight="14.4" x14ac:dyDescent="0.3"/>
  <cols>
    <col min="1" max="1" width="90.88671875" bestFit="1" customWidth="1"/>
    <col min="2" max="2" width="16.88671875" bestFit="1" customWidth="1"/>
    <col min="3" max="6" width="8.77734375" bestFit="1" customWidth="1"/>
    <col min="7" max="7" width="13" bestFit="1" customWidth="1"/>
    <col min="8" max="8" width="11.77734375" bestFit="1" customWidth="1"/>
    <col min="9" max="9" width="11.21875" bestFit="1" customWidth="1"/>
  </cols>
  <sheetData>
    <row r="1" spans="1:9" x14ac:dyDescent="0.3">
      <c r="A1" t="s">
        <v>25</v>
      </c>
    </row>
    <row r="2" spans="1:9" x14ac:dyDescent="0.3">
      <c r="A2" t="s">
        <v>26</v>
      </c>
    </row>
    <row r="3" spans="1:9" x14ac:dyDescent="0.3">
      <c r="A3" t="s">
        <v>27</v>
      </c>
    </row>
    <row r="4" spans="1:9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</row>
    <row r="5" spans="1:9" x14ac:dyDescent="0.3">
      <c r="A5" t="s">
        <v>37</v>
      </c>
      <c r="B5" t="s">
        <v>38</v>
      </c>
      <c r="D5" t="s">
        <v>39</v>
      </c>
      <c r="E5" t="s">
        <v>40</v>
      </c>
      <c r="F5" t="s">
        <v>41</v>
      </c>
    </row>
    <row r="6" spans="1:9" x14ac:dyDescent="0.3">
      <c r="A6" t="s">
        <v>42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H6" t="s">
        <v>44</v>
      </c>
      <c r="I6" t="s">
        <v>45</v>
      </c>
    </row>
    <row r="7" spans="1:9" x14ac:dyDescent="0.3">
      <c r="I7" t="s">
        <v>46</v>
      </c>
    </row>
    <row r="8" spans="1:9" x14ac:dyDescent="0.3">
      <c r="A8">
        <v>68</v>
      </c>
      <c r="B8">
        <v>85.6</v>
      </c>
      <c r="C8">
        <v>76.900000000000006</v>
      </c>
      <c r="D8">
        <v>93.2</v>
      </c>
      <c r="E8" t="s">
        <v>47</v>
      </c>
      <c r="F8">
        <v>754</v>
      </c>
      <c r="G8">
        <v>940</v>
      </c>
      <c r="H8">
        <v>920</v>
      </c>
    </row>
    <row r="9" spans="1:9" x14ac:dyDescent="0.3">
      <c r="A9">
        <v>67</v>
      </c>
      <c r="B9">
        <v>85</v>
      </c>
      <c r="C9">
        <v>76.099999999999994</v>
      </c>
      <c r="D9">
        <v>92.9</v>
      </c>
      <c r="E9">
        <v>83.6</v>
      </c>
      <c r="F9">
        <v>74.2</v>
      </c>
      <c r="G9">
        <v>900</v>
      </c>
      <c r="H9">
        <v>895</v>
      </c>
    </row>
    <row r="10" spans="1:9" x14ac:dyDescent="0.3">
      <c r="A10">
        <v>66</v>
      </c>
      <c r="B10" t="s">
        <v>48</v>
      </c>
      <c r="C10" t="s">
        <v>49</v>
      </c>
      <c r="D10">
        <v>92.5</v>
      </c>
      <c r="E10">
        <v>82.8</v>
      </c>
      <c r="F10" t="s">
        <v>50</v>
      </c>
      <c r="G10">
        <v>865</v>
      </c>
      <c r="H10">
        <v>870</v>
      </c>
    </row>
    <row r="11" spans="1:9" x14ac:dyDescent="0.3">
      <c r="A11">
        <v>65</v>
      </c>
      <c r="B11" t="s">
        <v>51</v>
      </c>
      <c r="C11" t="s">
        <v>52</v>
      </c>
      <c r="E11">
        <v>81.900000000000006</v>
      </c>
      <c r="F11">
        <v>72</v>
      </c>
      <c r="G11">
        <v>83.2</v>
      </c>
      <c r="H11">
        <v>846</v>
      </c>
      <c r="I11" t="s">
        <v>53</v>
      </c>
    </row>
    <row r="12" spans="1:9" x14ac:dyDescent="0.3">
      <c r="A12">
        <v>64</v>
      </c>
      <c r="B12" t="s">
        <v>54</v>
      </c>
      <c r="C12">
        <v>73.8</v>
      </c>
      <c r="D12" t="s">
        <v>55</v>
      </c>
      <c r="E12">
        <v>81.099999999999994</v>
      </c>
      <c r="F12">
        <v>71</v>
      </c>
      <c r="G12">
        <v>800</v>
      </c>
      <c r="H12">
        <v>822</v>
      </c>
      <c r="I12" t="s">
        <v>56</v>
      </c>
    </row>
    <row r="13" spans="1:9" x14ac:dyDescent="0.3">
      <c r="A13">
        <v>63</v>
      </c>
      <c r="B13">
        <v>82.8</v>
      </c>
      <c r="C13">
        <v>73</v>
      </c>
      <c r="D13">
        <v>91.4</v>
      </c>
      <c r="E13">
        <v>80.099999999999994</v>
      </c>
      <c r="F13">
        <v>69.900000000000006</v>
      </c>
      <c r="G13">
        <v>772</v>
      </c>
      <c r="H13">
        <v>799</v>
      </c>
      <c r="I13">
        <v>705</v>
      </c>
    </row>
    <row r="14" spans="1:9" x14ac:dyDescent="0.3">
      <c r="A14">
        <v>62</v>
      </c>
      <c r="C14">
        <v>72.2</v>
      </c>
      <c r="D14">
        <v>91.1</v>
      </c>
      <c r="E14" t="s">
        <v>57</v>
      </c>
      <c r="F14">
        <v>68.8</v>
      </c>
      <c r="G14">
        <v>745</v>
      </c>
      <c r="H14">
        <v>776</v>
      </c>
      <c r="I14" t="s">
        <v>58</v>
      </c>
    </row>
    <row r="15" spans="1:9" x14ac:dyDescent="0.3">
      <c r="A15">
        <v>61</v>
      </c>
      <c r="B15">
        <v>81.8</v>
      </c>
      <c r="C15">
        <v>71.5</v>
      </c>
      <c r="D15">
        <v>907</v>
      </c>
      <c r="E15">
        <v>78.400000000000006</v>
      </c>
      <c r="F15" t="s">
        <v>59</v>
      </c>
      <c r="G15">
        <v>720</v>
      </c>
      <c r="H15">
        <v>754</v>
      </c>
      <c r="I15" t="s">
        <v>60</v>
      </c>
    </row>
    <row r="16" spans="1:9" x14ac:dyDescent="0.3">
      <c r="A16">
        <v>60</v>
      </c>
      <c r="B16">
        <v>81.2</v>
      </c>
      <c r="C16">
        <v>70.7</v>
      </c>
      <c r="D16">
        <v>90.2</v>
      </c>
      <c r="E16" t="s">
        <v>61</v>
      </c>
      <c r="F16">
        <v>66.599999999999994</v>
      </c>
      <c r="G16">
        <v>697</v>
      </c>
      <c r="H16">
        <v>732</v>
      </c>
      <c r="I16">
        <v>654</v>
      </c>
    </row>
    <row r="17" spans="1:9" x14ac:dyDescent="0.3">
      <c r="A17">
        <v>59</v>
      </c>
      <c r="B17">
        <v>80.7</v>
      </c>
      <c r="C17" t="s">
        <v>62</v>
      </c>
      <c r="D17">
        <v>89.8</v>
      </c>
      <c r="E17">
        <v>76.599999999999994</v>
      </c>
      <c r="F17" t="s">
        <v>63</v>
      </c>
      <c r="G17">
        <v>674</v>
      </c>
      <c r="H17">
        <v>710</v>
      </c>
      <c r="I17" t="s">
        <v>64</v>
      </c>
    </row>
    <row r="18" spans="1:9" x14ac:dyDescent="0.3">
      <c r="A18">
        <v>58</v>
      </c>
      <c r="B18">
        <v>80.099999999999994</v>
      </c>
      <c r="C18">
        <v>692</v>
      </c>
      <c r="D18" t="s">
        <v>65</v>
      </c>
      <c r="E18" t="s">
        <v>66</v>
      </c>
      <c r="F18" t="s">
        <v>67</v>
      </c>
      <c r="G18">
        <v>653</v>
      </c>
      <c r="H18">
        <v>690</v>
      </c>
      <c r="I18">
        <v>615</v>
      </c>
    </row>
    <row r="19" spans="1:9" x14ac:dyDescent="0.3">
      <c r="A19">
        <v>57</v>
      </c>
      <c r="B19">
        <v>79.599999999999994</v>
      </c>
      <c r="C19">
        <v>68.5</v>
      </c>
      <c r="D19">
        <v>88.9</v>
      </c>
      <c r="E19">
        <v>74.8</v>
      </c>
      <c r="F19">
        <v>63.2</v>
      </c>
      <c r="G19">
        <v>633</v>
      </c>
      <c r="H19">
        <v>670</v>
      </c>
      <c r="I19">
        <v>595</v>
      </c>
    </row>
    <row r="20" spans="1:9" x14ac:dyDescent="0.3">
      <c r="A20">
        <v>56</v>
      </c>
      <c r="B20">
        <v>79</v>
      </c>
      <c r="C20" t="s">
        <v>59</v>
      </c>
      <c r="D20">
        <v>88.3</v>
      </c>
      <c r="E20" t="s">
        <v>68</v>
      </c>
      <c r="F20">
        <v>62</v>
      </c>
      <c r="G20">
        <v>613</v>
      </c>
      <c r="H20">
        <v>650</v>
      </c>
      <c r="I20">
        <v>577</v>
      </c>
    </row>
    <row r="21" spans="1:9" x14ac:dyDescent="0.3">
      <c r="A21">
        <v>55</v>
      </c>
      <c r="B21">
        <v>78.5</v>
      </c>
      <c r="C21">
        <v>66.900000000000006</v>
      </c>
      <c r="D21" t="s">
        <v>69</v>
      </c>
      <c r="E21">
        <v>73</v>
      </c>
      <c r="F21" t="s">
        <v>70</v>
      </c>
      <c r="G21">
        <v>595</v>
      </c>
      <c r="H21">
        <v>630</v>
      </c>
      <c r="I21">
        <v>560</v>
      </c>
    </row>
    <row r="22" spans="1:9" x14ac:dyDescent="0.3">
      <c r="A22" t="s">
        <v>71</v>
      </c>
      <c r="B22">
        <v>78</v>
      </c>
      <c r="C22">
        <v>66.099999999999994</v>
      </c>
      <c r="D22" t="s">
        <v>72</v>
      </c>
      <c r="E22">
        <v>72</v>
      </c>
      <c r="F22">
        <v>59.8</v>
      </c>
      <c r="G22">
        <v>577</v>
      </c>
      <c r="H22">
        <v>612</v>
      </c>
      <c r="I22">
        <v>543</v>
      </c>
    </row>
    <row r="23" spans="1:9" x14ac:dyDescent="0.3">
      <c r="A23">
        <v>53</v>
      </c>
      <c r="B23">
        <v>77.400000000000006</v>
      </c>
      <c r="C23" t="s">
        <v>73</v>
      </c>
      <c r="D23">
        <v>86.9</v>
      </c>
      <c r="E23">
        <v>71.2</v>
      </c>
      <c r="F23">
        <v>58.6</v>
      </c>
      <c r="G23">
        <v>560</v>
      </c>
      <c r="H23">
        <v>594</v>
      </c>
      <c r="I23">
        <v>525</v>
      </c>
    </row>
    <row r="24" spans="1:9" x14ac:dyDescent="0.3">
      <c r="A24">
        <v>52</v>
      </c>
      <c r="B24">
        <v>76.8</v>
      </c>
      <c r="C24">
        <v>64.599999999999994</v>
      </c>
      <c r="D24" t="s">
        <v>47</v>
      </c>
      <c r="E24">
        <v>70.2</v>
      </c>
      <c r="F24" t="s">
        <v>74</v>
      </c>
      <c r="G24">
        <v>544</v>
      </c>
      <c r="H24">
        <v>576</v>
      </c>
      <c r="I24">
        <v>512</v>
      </c>
    </row>
    <row r="25" spans="1:9" x14ac:dyDescent="0.3">
      <c r="A25">
        <v>51</v>
      </c>
      <c r="B25">
        <v>768</v>
      </c>
      <c r="C25">
        <v>63.8</v>
      </c>
      <c r="D25" t="s">
        <v>75</v>
      </c>
      <c r="E25">
        <v>69</v>
      </c>
      <c r="F25">
        <v>56.1</v>
      </c>
      <c r="G25">
        <v>528</v>
      </c>
      <c r="H25">
        <v>558</v>
      </c>
      <c r="I25">
        <v>496</v>
      </c>
    </row>
    <row r="26" spans="1:9" x14ac:dyDescent="0.3">
      <c r="A26">
        <v>50</v>
      </c>
      <c r="B26" t="s">
        <v>76</v>
      </c>
      <c r="C26">
        <v>63.1</v>
      </c>
      <c r="D26" t="s">
        <v>77</v>
      </c>
      <c r="E26">
        <v>68.5</v>
      </c>
      <c r="F26">
        <v>55</v>
      </c>
      <c r="G26">
        <v>513</v>
      </c>
      <c r="H26">
        <v>542</v>
      </c>
      <c r="I26">
        <v>481</v>
      </c>
    </row>
    <row r="27" spans="1:9" x14ac:dyDescent="0.3">
      <c r="A27">
        <v>49</v>
      </c>
      <c r="B27">
        <v>75.2</v>
      </c>
      <c r="C27">
        <v>62.1</v>
      </c>
      <c r="D27">
        <v>85</v>
      </c>
      <c r="E27">
        <v>67.599999999999994</v>
      </c>
      <c r="F27">
        <v>53.8</v>
      </c>
      <c r="G27">
        <v>498</v>
      </c>
      <c r="H27">
        <v>52.6</v>
      </c>
      <c r="I27">
        <v>469</v>
      </c>
    </row>
    <row r="28" spans="1:9" x14ac:dyDescent="0.3">
      <c r="A28">
        <v>48</v>
      </c>
      <c r="B28" t="s">
        <v>78</v>
      </c>
      <c r="C28">
        <v>614</v>
      </c>
      <c r="D28">
        <v>84.6</v>
      </c>
      <c r="E28">
        <v>66.7</v>
      </c>
      <c r="F28">
        <v>52.5</v>
      </c>
      <c r="G28">
        <v>484</v>
      </c>
      <c r="H28">
        <v>510</v>
      </c>
      <c r="I28">
        <v>455</v>
      </c>
    </row>
    <row r="29" spans="1:9" x14ac:dyDescent="0.3">
      <c r="A29">
        <v>47</v>
      </c>
      <c r="B29">
        <v>74.099999999999994</v>
      </c>
      <c r="C29">
        <v>60.8</v>
      </c>
      <c r="E29">
        <v>65.8</v>
      </c>
      <c r="F29">
        <v>51.4</v>
      </c>
      <c r="G29">
        <v>471</v>
      </c>
      <c r="H29">
        <v>495</v>
      </c>
      <c r="I29">
        <v>443</v>
      </c>
    </row>
    <row r="30" spans="1:9" x14ac:dyDescent="0.3">
      <c r="A30">
        <v>46</v>
      </c>
      <c r="B30">
        <v>73.599999999999994</v>
      </c>
      <c r="C30">
        <v>60</v>
      </c>
      <c r="D30" t="s">
        <v>79</v>
      </c>
      <c r="E30">
        <v>64.8</v>
      </c>
      <c r="F30">
        <v>50.3</v>
      </c>
      <c r="G30">
        <v>458</v>
      </c>
      <c r="H30">
        <v>480</v>
      </c>
      <c r="I30">
        <v>432</v>
      </c>
    </row>
    <row r="31" spans="1:9" x14ac:dyDescent="0.3">
      <c r="A31">
        <v>45</v>
      </c>
      <c r="B31">
        <v>73.099999999999994</v>
      </c>
      <c r="C31">
        <v>59.2</v>
      </c>
      <c r="D31">
        <v>83</v>
      </c>
      <c r="E31">
        <v>64</v>
      </c>
      <c r="F31">
        <v>49</v>
      </c>
      <c r="G31">
        <v>446</v>
      </c>
      <c r="H31">
        <v>466</v>
      </c>
      <c r="I31">
        <v>421</v>
      </c>
    </row>
    <row r="32" spans="1:9" x14ac:dyDescent="0.3">
      <c r="A32">
        <v>44</v>
      </c>
      <c r="B32">
        <v>725</v>
      </c>
      <c r="C32">
        <v>58.5</v>
      </c>
      <c r="D32">
        <v>82.5</v>
      </c>
      <c r="E32">
        <v>63.1</v>
      </c>
      <c r="F32">
        <v>47.8</v>
      </c>
      <c r="G32">
        <v>434</v>
      </c>
      <c r="H32">
        <v>452</v>
      </c>
      <c r="I32">
        <v>409</v>
      </c>
    </row>
    <row r="33" spans="1:9" x14ac:dyDescent="0.3">
      <c r="A33">
        <v>43</v>
      </c>
      <c r="B33">
        <v>72</v>
      </c>
      <c r="C33" t="s">
        <v>80</v>
      </c>
      <c r="D33">
        <v>82</v>
      </c>
      <c r="E33">
        <v>62.2</v>
      </c>
      <c r="F33">
        <v>46.7</v>
      </c>
      <c r="G33">
        <v>423</v>
      </c>
      <c r="H33">
        <v>0.38</v>
      </c>
      <c r="I33">
        <v>400</v>
      </c>
    </row>
    <row r="34" spans="1:9" x14ac:dyDescent="0.3">
      <c r="A34">
        <v>42</v>
      </c>
      <c r="B34" t="s">
        <v>81</v>
      </c>
      <c r="C34">
        <v>56.9</v>
      </c>
      <c r="D34">
        <v>81.5</v>
      </c>
      <c r="E34">
        <v>61.3</v>
      </c>
      <c r="F34" t="s">
        <v>82</v>
      </c>
      <c r="G34">
        <v>412</v>
      </c>
      <c r="H34">
        <v>42.6</v>
      </c>
      <c r="I34">
        <v>390</v>
      </c>
    </row>
    <row r="35" spans="1:9" x14ac:dyDescent="0.3">
      <c r="A35">
        <v>41</v>
      </c>
      <c r="B35">
        <v>70.900000000000006</v>
      </c>
      <c r="C35">
        <v>56.2</v>
      </c>
      <c r="D35">
        <v>80.900000000000006</v>
      </c>
      <c r="E35">
        <v>60.4</v>
      </c>
      <c r="F35" t="s">
        <v>83</v>
      </c>
      <c r="G35">
        <v>402</v>
      </c>
      <c r="H35">
        <v>414</v>
      </c>
      <c r="I35">
        <v>381</v>
      </c>
    </row>
    <row r="36" spans="1:9" x14ac:dyDescent="0.3">
      <c r="A36">
        <v>40</v>
      </c>
      <c r="B36">
        <v>70.400000000000006</v>
      </c>
      <c r="C36" t="s">
        <v>84</v>
      </c>
      <c r="D36" t="s">
        <v>85</v>
      </c>
      <c r="E36">
        <v>595</v>
      </c>
      <c r="F36">
        <v>43.1</v>
      </c>
      <c r="G36">
        <v>392</v>
      </c>
      <c r="H36">
        <v>402</v>
      </c>
      <c r="I36">
        <v>3.71</v>
      </c>
    </row>
    <row r="37" spans="1:9" x14ac:dyDescent="0.3">
      <c r="A37">
        <v>39</v>
      </c>
      <c r="B37" t="s">
        <v>86</v>
      </c>
      <c r="C37">
        <v>54.6</v>
      </c>
      <c r="D37">
        <v>79.900000000000006</v>
      </c>
      <c r="E37">
        <v>58.6</v>
      </c>
      <c r="F37">
        <v>41.9</v>
      </c>
      <c r="G37">
        <v>382</v>
      </c>
      <c r="H37">
        <v>391</v>
      </c>
      <c r="I37">
        <v>362</v>
      </c>
    </row>
    <row r="38" spans="1:9" x14ac:dyDescent="0.3">
      <c r="A38">
        <v>38</v>
      </c>
      <c r="B38">
        <v>69.400000000000006</v>
      </c>
      <c r="C38">
        <v>53.8</v>
      </c>
      <c r="D38">
        <v>79</v>
      </c>
      <c r="E38" t="s">
        <v>80</v>
      </c>
      <c r="F38">
        <v>40.799999999999997</v>
      </c>
      <c r="G38">
        <v>372</v>
      </c>
      <c r="H38">
        <v>380</v>
      </c>
      <c r="I38">
        <v>353</v>
      </c>
    </row>
    <row r="39" spans="1:9" x14ac:dyDescent="0.3">
      <c r="A39">
        <v>0.37</v>
      </c>
      <c r="B39">
        <v>58.9</v>
      </c>
      <c r="C39">
        <v>53.1</v>
      </c>
      <c r="D39">
        <v>78.8</v>
      </c>
      <c r="E39">
        <v>6.8</v>
      </c>
      <c r="G39">
        <v>363</v>
      </c>
      <c r="H39">
        <v>370</v>
      </c>
      <c r="I39">
        <v>344</v>
      </c>
    </row>
    <row r="40" spans="1:9" x14ac:dyDescent="0.3">
      <c r="A40">
        <v>36</v>
      </c>
      <c r="B40">
        <v>68.400000000000006</v>
      </c>
      <c r="C40">
        <v>52.3</v>
      </c>
      <c r="D40">
        <v>78.3</v>
      </c>
      <c r="E40" t="s">
        <v>87</v>
      </c>
      <c r="F40">
        <v>38.4</v>
      </c>
      <c r="G40">
        <v>354</v>
      </c>
      <c r="H40">
        <v>3.6</v>
      </c>
      <c r="I40">
        <v>336</v>
      </c>
    </row>
    <row r="41" spans="1:9" x14ac:dyDescent="0.3">
      <c r="A41">
        <v>35</v>
      </c>
      <c r="B41" t="s">
        <v>88</v>
      </c>
      <c r="C41">
        <v>51.5</v>
      </c>
      <c r="E41">
        <v>55</v>
      </c>
      <c r="F41">
        <v>37.200000000000003</v>
      </c>
      <c r="G41">
        <v>345</v>
      </c>
      <c r="H41">
        <v>351</v>
      </c>
      <c r="I41">
        <v>327</v>
      </c>
    </row>
    <row r="42" spans="1:9" x14ac:dyDescent="0.3">
      <c r="A42">
        <v>34</v>
      </c>
      <c r="B42">
        <v>674</v>
      </c>
      <c r="C42">
        <v>50.8</v>
      </c>
      <c r="D42">
        <v>77.2</v>
      </c>
      <c r="E42">
        <v>54.2</v>
      </c>
      <c r="F42">
        <v>36.1</v>
      </c>
      <c r="G42">
        <v>336</v>
      </c>
      <c r="H42">
        <v>342</v>
      </c>
      <c r="I42">
        <v>319</v>
      </c>
    </row>
    <row r="43" spans="1:9" x14ac:dyDescent="0.3">
      <c r="A43">
        <v>33</v>
      </c>
      <c r="B43">
        <v>66.8</v>
      </c>
      <c r="C43">
        <v>50</v>
      </c>
      <c r="D43">
        <v>76.599999999999994</v>
      </c>
      <c r="E43" t="s">
        <v>89</v>
      </c>
      <c r="F43" t="s">
        <v>90</v>
      </c>
      <c r="G43">
        <v>327</v>
      </c>
      <c r="H43">
        <v>334</v>
      </c>
      <c r="I43" t="s">
        <v>91</v>
      </c>
    </row>
    <row r="44" spans="1:9" x14ac:dyDescent="0.3">
      <c r="A44">
        <v>32</v>
      </c>
      <c r="B44">
        <v>66.3</v>
      </c>
      <c r="C44">
        <v>49.2</v>
      </c>
      <c r="D44">
        <v>76.099999999999994</v>
      </c>
      <c r="E44">
        <v>52.1</v>
      </c>
      <c r="F44" t="s">
        <v>92</v>
      </c>
      <c r="G44">
        <v>318</v>
      </c>
      <c r="H44">
        <v>32.6</v>
      </c>
      <c r="I44">
        <v>0.30099999999999999</v>
      </c>
    </row>
    <row r="45" spans="1:9" x14ac:dyDescent="0.3">
      <c r="A45">
        <v>31</v>
      </c>
      <c r="B45">
        <v>65.8</v>
      </c>
      <c r="C45">
        <v>48.4</v>
      </c>
      <c r="D45">
        <v>75.599999999999994</v>
      </c>
      <c r="E45">
        <v>51.3</v>
      </c>
      <c r="F45">
        <v>32.5</v>
      </c>
      <c r="G45">
        <v>0.31</v>
      </c>
      <c r="H45">
        <v>318</v>
      </c>
      <c r="I45">
        <v>294</v>
      </c>
    </row>
    <row r="46" spans="1:9" x14ac:dyDescent="0.3">
      <c r="A46">
        <v>30</v>
      </c>
      <c r="B46" t="s">
        <v>93</v>
      </c>
      <c r="C46">
        <v>477</v>
      </c>
      <c r="E46">
        <v>50.4</v>
      </c>
      <c r="F46">
        <v>31.3</v>
      </c>
      <c r="G46">
        <v>302</v>
      </c>
      <c r="H46">
        <v>311</v>
      </c>
      <c r="I46">
        <v>286</v>
      </c>
    </row>
    <row r="47" spans="1:9" x14ac:dyDescent="0.3">
      <c r="A47">
        <v>29</v>
      </c>
      <c r="B47">
        <v>64.8</v>
      </c>
      <c r="C47">
        <v>47</v>
      </c>
      <c r="D47" t="s">
        <v>52</v>
      </c>
      <c r="E47">
        <v>49.5</v>
      </c>
      <c r="F47" t="s">
        <v>94</v>
      </c>
      <c r="G47">
        <v>294</v>
      </c>
      <c r="H47">
        <v>304</v>
      </c>
      <c r="I47">
        <v>2.79</v>
      </c>
    </row>
    <row r="48" spans="1:9" x14ac:dyDescent="0.3">
      <c r="A48">
        <v>28</v>
      </c>
      <c r="B48" t="s">
        <v>67</v>
      </c>
      <c r="C48">
        <v>46.1</v>
      </c>
      <c r="D48" t="s">
        <v>95</v>
      </c>
      <c r="E48">
        <v>48.6</v>
      </c>
      <c r="F48">
        <v>28.9</v>
      </c>
      <c r="G48">
        <v>286</v>
      </c>
      <c r="H48">
        <v>297</v>
      </c>
      <c r="I48">
        <v>271</v>
      </c>
    </row>
    <row r="49" spans="1:9" x14ac:dyDescent="0.3">
      <c r="A49">
        <v>27</v>
      </c>
      <c r="B49">
        <v>6.38</v>
      </c>
      <c r="C49">
        <v>45.2</v>
      </c>
      <c r="D49" t="s">
        <v>96</v>
      </c>
      <c r="F49">
        <v>27.8</v>
      </c>
      <c r="G49">
        <v>2.79</v>
      </c>
      <c r="H49">
        <v>290</v>
      </c>
      <c r="I49">
        <v>264</v>
      </c>
    </row>
    <row r="50" spans="1:9" x14ac:dyDescent="0.3">
      <c r="A50">
        <v>26</v>
      </c>
      <c r="B50" t="s">
        <v>97</v>
      </c>
      <c r="C50">
        <v>44.6</v>
      </c>
      <c r="D50">
        <v>72.8</v>
      </c>
      <c r="E50">
        <v>46.8</v>
      </c>
      <c r="F50">
        <v>26.7</v>
      </c>
      <c r="G50">
        <v>272</v>
      </c>
      <c r="H50">
        <v>284</v>
      </c>
      <c r="I50">
        <v>258</v>
      </c>
    </row>
    <row r="51" spans="1:9" x14ac:dyDescent="0.3">
      <c r="A51">
        <v>25</v>
      </c>
      <c r="B51">
        <v>62.8</v>
      </c>
      <c r="C51">
        <v>43.8</v>
      </c>
      <c r="D51">
        <v>72.2</v>
      </c>
      <c r="E51" t="s">
        <v>98</v>
      </c>
      <c r="F51" t="s">
        <v>99</v>
      </c>
      <c r="G51">
        <v>266</v>
      </c>
      <c r="H51">
        <v>278</v>
      </c>
      <c r="I51">
        <v>253</v>
      </c>
    </row>
    <row r="52" spans="1:9" x14ac:dyDescent="0.3">
      <c r="A52">
        <v>24</v>
      </c>
      <c r="B52">
        <v>62.4</v>
      </c>
      <c r="C52">
        <v>43.1</v>
      </c>
      <c r="D52">
        <v>71.599999999999994</v>
      </c>
      <c r="E52">
        <v>45</v>
      </c>
      <c r="F52" t="s">
        <v>100</v>
      </c>
      <c r="G52">
        <v>260</v>
      </c>
      <c r="H52">
        <v>272</v>
      </c>
      <c r="I52">
        <v>2.4700000000000002</v>
      </c>
    </row>
    <row r="53" spans="1:9" x14ac:dyDescent="0.3">
      <c r="A53">
        <v>23</v>
      </c>
      <c r="B53">
        <v>62</v>
      </c>
      <c r="C53">
        <v>42.1</v>
      </c>
      <c r="D53">
        <v>71</v>
      </c>
      <c r="E53">
        <v>44</v>
      </c>
      <c r="F53">
        <v>23</v>
      </c>
      <c r="G53">
        <v>254</v>
      </c>
      <c r="H53">
        <v>2.66</v>
      </c>
      <c r="I53">
        <v>243</v>
      </c>
    </row>
    <row r="54" spans="1:9" x14ac:dyDescent="0.3">
      <c r="B54">
        <v>61.5</v>
      </c>
      <c r="C54">
        <v>41.6</v>
      </c>
      <c r="D54">
        <v>70.5</v>
      </c>
      <c r="E54">
        <v>43.2</v>
      </c>
      <c r="G54">
        <v>248</v>
      </c>
      <c r="H54">
        <v>261</v>
      </c>
      <c r="I54">
        <v>2.37</v>
      </c>
    </row>
    <row r="55" spans="1:9" x14ac:dyDescent="0.3">
      <c r="A55">
        <v>21</v>
      </c>
      <c r="B55">
        <v>61</v>
      </c>
      <c r="C55">
        <v>40.9</v>
      </c>
      <c r="D55" t="s">
        <v>86</v>
      </c>
      <c r="E55">
        <v>428</v>
      </c>
      <c r="F55">
        <v>20.7</v>
      </c>
      <c r="G55">
        <v>243</v>
      </c>
      <c r="H55">
        <v>256</v>
      </c>
      <c r="I55">
        <v>231</v>
      </c>
    </row>
    <row r="56" spans="1:9" x14ac:dyDescent="0.3">
      <c r="A56">
        <v>20</v>
      </c>
      <c r="B56">
        <v>60.5</v>
      </c>
      <c r="C56" t="s">
        <v>101</v>
      </c>
      <c r="D56" t="s">
        <v>102</v>
      </c>
      <c r="E56">
        <v>41.5</v>
      </c>
      <c r="F56">
        <v>19.600000000000001</v>
      </c>
      <c r="G56">
        <v>238</v>
      </c>
      <c r="H56">
        <v>2.5099999999999998</v>
      </c>
      <c r="I56">
        <v>226</v>
      </c>
    </row>
    <row r="57" spans="1:9" x14ac:dyDescent="0.3">
      <c r="B57" t="s">
        <v>103</v>
      </c>
      <c r="E57" t="s">
        <v>104</v>
      </c>
      <c r="G57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DC8A-9057-4953-A8CA-09C59C6B3188}">
  <dimension ref="A1:B13"/>
  <sheetViews>
    <sheetView workbookViewId="0">
      <selection activeCell="C12" sqref="C12"/>
    </sheetView>
  </sheetViews>
  <sheetFormatPr baseColWidth="10" defaultRowHeight="14.4" x14ac:dyDescent="0.3"/>
  <cols>
    <col min="1" max="2" width="18.21875" bestFit="1" customWidth="1"/>
  </cols>
  <sheetData>
    <row r="1" spans="1:2" x14ac:dyDescent="0.3">
      <c r="A1" t="s">
        <v>106</v>
      </c>
      <c r="B1" t="s">
        <v>106</v>
      </c>
    </row>
    <row r="2" spans="1:2" x14ac:dyDescent="0.3">
      <c r="A2" t="s">
        <v>107</v>
      </c>
      <c r="B2">
        <v>2021</v>
      </c>
    </row>
    <row r="3" spans="1:2" x14ac:dyDescent="0.3">
      <c r="A3" t="s">
        <v>108</v>
      </c>
      <c r="B3" t="s">
        <v>108</v>
      </c>
    </row>
    <row r="4" spans="1:2" x14ac:dyDescent="0.3">
      <c r="A4" t="s">
        <v>109</v>
      </c>
      <c r="B4" t="s">
        <v>110</v>
      </c>
    </row>
    <row r="5" spans="1:2" x14ac:dyDescent="0.3">
      <c r="A5" t="s">
        <v>111</v>
      </c>
      <c r="B5" t="s">
        <v>112</v>
      </c>
    </row>
    <row r="6" spans="1:2" x14ac:dyDescent="0.3">
      <c r="A6" t="s">
        <v>113</v>
      </c>
      <c r="B6" t="s">
        <v>114</v>
      </c>
    </row>
    <row r="7" spans="1:2" x14ac:dyDescent="0.3">
      <c r="A7" t="s">
        <v>115</v>
      </c>
      <c r="B7" t="s">
        <v>116</v>
      </c>
    </row>
    <row r="8" spans="1:2" x14ac:dyDescent="0.3">
      <c r="A8" t="s">
        <v>117</v>
      </c>
      <c r="B8" t="s">
        <v>118</v>
      </c>
    </row>
    <row r="9" spans="1:2" x14ac:dyDescent="0.3">
      <c r="A9" t="s">
        <v>119</v>
      </c>
      <c r="B9" t="s">
        <v>120</v>
      </c>
    </row>
    <row r="10" spans="1:2" x14ac:dyDescent="0.3">
      <c r="A10" t="s">
        <v>118</v>
      </c>
      <c r="B10" t="s">
        <v>121</v>
      </c>
    </row>
    <row r="11" spans="1:2" x14ac:dyDescent="0.3">
      <c r="A11" t="s">
        <v>122</v>
      </c>
      <c r="B11" t="s">
        <v>123</v>
      </c>
    </row>
    <row r="12" spans="1:2" x14ac:dyDescent="0.3">
      <c r="A12" t="s">
        <v>124</v>
      </c>
      <c r="B12" t="s">
        <v>125</v>
      </c>
    </row>
    <row r="13" spans="1:2" x14ac:dyDescent="0.3">
      <c r="A13" t="s">
        <v>126</v>
      </c>
      <c r="B13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CDD9-34FE-427C-927A-ED9125CA6F74}">
  <dimension ref="A1:E31"/>
  <sheetViews>
    <sheetView tabSelected="1" workbookViewId="0">
      <selection activeCell="A2" sqref="A2"/>
    </sheetView>
  </sheetViews>
  <sheetFormatPr baseColWidth="10" defaultRowHeight="14.4" x14ac:dyDescent="0.3"/>
  <cols>
    <col min="1" max="1" width="80.88671875" bestFit="1" customWidth="1"/>
    <col min="2" max="2" width="12.5546875" bestFit="1" customWidth="1"/>
    <col min="3" max="3" width="12.21875" bestFit="1" customWidth="1"/>
    <col min="4" max="4" width="12.5546875" bestFit="1" customWidth="1"/>
    <col min="5" max="5" width="12.21875" bestFit="1" customWidth="1"/>
  </cols>
  <sheetData>
    <row r="1" spans="1:5" x14ac:dyDescent="0.3">
      <c r="A1" t="s">
        <v>127</v>
      </c>
      <c r="B1" t="s">
        <v>128</v>
      </c>
      <c r="C1" t="s">
        <v>129</v>
      </c>
      <c r="D1" t="s">
        <v>130</v>
      </c>
      <c r="E1" t="s">
        <v>131</v>
      </c>
    </row>
    <row r="2" spans="1:5" x14ac:dyDescent="0.3">
      <c r="A2" s="1" t="s">
        <v>132</v>
      </c>
      <c r="B2">
        <v>12777</v>
      </c>
      <c r="C2">
        <v>10747</v>
      </c>
      <c r="D2">
        <v>15484</v>
      </c>
      <c r="E2">
        <v>12559.72</v>
      </c>
    </row>
    <row r="3" spans="1:5" x14ac:dyDescent="0.3">
      <c r="A3" s="1" t="s">
        <v>12</v>
      </c>
      <c r="B3">
        <v>64916</v>
      </c>
      <c r="C3">
        <v>5531.76</v>
      </c>
      <c r="D3">
        <v>83219</v>
      </c>
      <c r="E3">
        <v>6937.18</v>
      </c>
    </row>
    <row r="4" spans="1:5" x14ac:dyDescent="0.3">
      <c r="A4" s="1" t="s">
        <v>133</v>
      </c>
      <c r="B4">
        <v>16229</v>
      </c>
      <c r="C4">
        <v>8131.17</v>
      </c>
      <c r="D4">
        <v>14009</v>
      </c>
      <c r="E4">
        <v>6775.49</v>
      </c>
    </row>
    <row r="5" spans="1:5" x14ac:dyDescent="0.3">
      <c r="A5" s="1" t="s">
        <v>7</v>
      </c>
      <c r="B5">
        <v>25517</v>
      </c>
      <c r="C5">
        <v>5995.79</v>
      </c>
      <c r="D5">
        <v>28873</v>
      </c>
      <c r="E5">
        <v>6629.64</v>
      </c>
    </row>
    <row r="6" spans="1:5" x14ac:dyDescent="0.3">
      <c r="A6" s="1" t="s">
        <v>16</v>
      </c>
      <c r="B6">
        <v>22257</v>
      </c>
      <c r="C6">
        <v>5698.26</v>
      </c>
      <c r="D6">
        <v>25857</v>
      </c>
      <c r="E6">
        <v>6485.1</v>
      </c>
    </row>
    <row r="7" spans="1:5" x14ac:dyDescent="0.3">
      <c r="A7" s="1" t="s">
        <v>5</v>
      </c>
      <c r="B7">
        <v>13467</v>
      </c>
      <c r="C7">
        <v>5499.7</v>
      </c>
      <c r="D7">
        <v>16111</v>
      </c>
      <c r="E7">
        <v>6464.7</v>
      </c>
    </row>
    <row r="8" spans="1:5" x14ac:dyDescent="0.3">
      <c r="A8" s="1" t="s">
        <v>17</v>
      </c>
      <c r="B8">
        <v>85754</v>
      </c>
      <c r="C8">
        <v>6443.15</v>
      </c>
      <c r="D8">
        <v>87211</v>
      </c>
      <c r="E8">
        <v>6409.3</v>
      </c>
    </row>
    <row r="9" spans="1:5" x14ac:dyDescent="0.3">
      <c r="A9" s="1" t="s">
        <v>135</v>
      </c>
      <c r="B9">
        <v>14539</v>
      </c>
      <c r="C9">
        <v>4960.76</v>
      </c>
      <c r="D9">
        <v>18107</v>
      </c>
      <c r="E9">
        <v>5980.51</v>
      </c>
    </row>
    <row r="10" spans="1:5" x14ac:dyDescent="0.3">
      <c r="A10" s="1" t="s">
        <v>136</v>
      </c>
      <c r="B10">
        <v>10657</v>
      </c>
      <c r="C10">
        <v>4312.3100000000004</v>
      </c>
      <c r="D10">
        <v>14694</v>
      </c>
      <c r="E10">
        <v>5787.55</v>
      </c>
    </row>
    <row r="11" spans="1:5" x14ac:dyDescent="0.3">
      <c r="A11" s="1" t="s">
        <v>2</v>
      </c>
      <c r="B11">
        <v>15657</v>
      </c>
      <c r="C11">
        <v>4504.74</v>
      </c>
      <c r="D11">
        <v>19647</v>
      </c>
      <c r="E11">
        <v>5533.66</v>
      </c>
    </row>
    <row r="12" spans="1:5" x14ac:dyDescent="0.3">
      <c r="A12" s="1" t="s">
        <v>19</v>
      </c>
      <c r="B12">
        <v>22885</v>
      </c>
      <c r="C12">
        <v>4019.22</v>
      </c>
      <c r="D12">
        <v>32402</v>
      </c>
      <c r="E12">
        <v>5533.33</v>
      </c>
    </row>
    <row r="13" spans="1:5" x14ac:dyDescent="0.3">
      <c r="A13" s="1" t="s">
        <v>3</v>
      </c>
      <c r="B13">
        <v>34013</v>
      </c>
      <c r="C13">
        <v>4298.09</v>
      </c>
      <c r="D13">
        <v>42681</v>
      </c>
      <c r="E13">
        <v>5295.25</v>
      </c>
    </row>
    <row r="14" spans="1:5" x14ac:dyDescent="0.3">
      <c r="A14" s="1" t="s">
        <v>13</v>
      </c>
      <c r="B14">
        <v>22461</v>
      </c>
      <c r="C14">
        <v>4322.3100000000004</v>
      </c>
      <c r="D14">
        <v>28049</v>
      </c>
      <c r="E14">
        <v>5252.97</v>
      </c>
    </row>
    <row r="15" spans="1:5" x14ac:dyDescent="0.3">
      <c r="A15" s="1" t="s">
        <v>4</v>
      </c>
      <c r="B15">
        <v>18303</v>
      </c>
      <c r="C15">
        <v>5807.95</v>
      </c>
      <c r="D15">
        <v>16751</v>
      </c>
      <c r="E15">
        <v>5181.3</v>
      </c>
    </row>
    <row r="16" spans="1:5" x14ac:dyDescent="0.3">
      <c r="A16" s="1" t="s">
        <v>9</v>
      </c>
      <c r="B16">
        <v>20941</v>
      </c>
      <c r="C16">
        <v>4250.63</v>
      </c>
      <c r="D16">
        <v>26002</v>
      </c>
      <c r="E16">
        <v>5165.63</v>
      </c>
    </row>
    <row r="17" spans="1:5" x14ac:dyDescent="0.3">
      <c r="A17" s="1" t="s">
        <v>21</v>
      </c>
      <c r="B17">
        <v>7803</v>
      </c>
      <c r="C17">
        <v>4451.2</v>
      </c>
      <c r="D17">
        <v>8345</v>
      </c>
      <c r="E17">
        <v>4677.95</v>
      </c>
    </row>
    <row r="18" spans="1:5" x14ac:dyDescent="0.3">
      <c r="A18" s="1" t="s">
        <v>137</v>
      </c>
      <c r="B18">
        <v>41489</v>
      </c>
      <c r="C18">
        <v>4919.3</v>
      </c>
      <c r="D18">
        <v>39887</v>
      </c>
      <c r="E18">
        <v>4587.3</v>
      </c>
    </row>
    <row r="19" spans="1:5" x14ac:dyDescent="0.3">
      <c r="A19" s="1" t="s">
        <v>22</v>
      </c>
      <c r="B19">
        <v>36489</v>
      </c>
      <c r="C19">
        <v>4046.49</v>
      </c>
      <c r="D19">
        <v>40949</v>
      </c>
      <c r="E19">
        <v>4446.17</v>
      </c>
    </row>
    <row r="20" spans="1:5" x14ac:dyDescent="0.3">
      <c r="A20" s="1" t="s">
        <v>8</v>
      </c>
      <c r="B20">
        <v>43881</v>
      </c>
      <c r="C20">
        <v>3293.58</v>
      </c>
      <c r="D20">
        <v>58994</v>
      </c>
      <c r="E20">
        <v>4302.25</v>
      </c>
    </row>
    <row r="21" spans="1:5" x14ac:dyDescent="0.3">
      <c r="A21" s="1" t="s">
        <v>10</v>
      </c>
      <c r="B21">
        <v>15001</v>
      </c>
      <c r="C21">
        <v>3993.98</v>
      </c>
      <c r="D21">
        <v>15036</v>
      </c>
      <c r="E21">
        <v>3895.74</v>
      </c>
    </row>
    <row r="22" spans="1:5" x14ac:dyDescent="0.3">
      <c r="A22" s="1" t="s">
        <v>138</v>
      </c>
      <c r="B22">
        <v>8075</v>
      </c>
      <c r="C22">
        <v>3301.02</v>
      </c>
      <c r="D22">
        <v>8973</v>
      </c>
      <c r="E22">
        <v>3553.11</v>
      </c>
    </row>
    <row r="23" spans="1:5" x14ac:dyDescent="0.3">
      <c r="A23" s="1" t="s">
        <v>20</v>
      </c>
      <c r="B23">
        <v>12004</v>
      </c>
      <c r="C23">
        <v>3367.29</v>
      </c>
      <c r="D23">
        <v>11740</v>
      </c>
      <c r="E23">
        <v>3233.51</v>
      </c>
    </row>
    <row r="24" spans="1:5" x14ac:dyDescent="0.3">
      <c r="A24" s="1" t="s">
        <v>15</v>
      </c>
      <c r="B24">
        <v>17547</v>
      </c>
      <c r="C24">
        <v>2424.9699999999998</v>
      </c>
      <c r="D24">
        <v>20094</v>
      </c>
      <c r="E24">
        <v>2704.24</v>
      </c>
    </row>
    <row r="25" spans="1:5" x14ac:dyDescent="0.3">
      <c r="A25" s="1" t="s">
        <v>6</v>
      </c>
      <c r="B25">
        <v>12510</v>
      </c>
      <c r="C25">
        <v>2616.37</v>
      </c>
      <c r="D25">
        <v>12887</v>
      </c>
      <c r="E25">
        <v>2632.93</v>
      </c>
    </row>
    <row r="26" spans="1:5" x14ac:dyDescent="0.3">
      <c r="A26" s="1" t="s">
        <v>1</v>
      </c>
      <c r="B26">
        <v>11266</v>
      </c>
      <c r="C26">
        <v>1890.35</v>
      </c>
      <c r="D26">
        <v>12459</v>
      </c>
      <c r="E26">
        <v>2042.5</v>
      </c>
    </row>
    <row r="27" spans="1:5" x14ac:dyDescent="0.3">
      <c r="A27" s="1" t="s">
        <v>139</v>
      </c>
      <c r="B27">
        <v>20453</v>
      </c>
      <c r="C27">
        <v>2056.39</v>
      </c>
      <c r="D27">
        <v>19490</v>
      </c>
      <c r="E27">
        <v>1959.05</v>
      </c>
    </row>
    <row r="28" spans="1:5" x14ac:dyDescent="0.3">
      <c r="A28" s="1" t="s">
        <v>140</v>
      </c>
      <c r="B28">
        <v>12895</v>
      </c>
      <c r="C28">
        <v>1532.4</v>
      </c>
      <c r="D28">
        <v>14370</v>
      </c>
      <c r="E28">
        <v>1690.64</v>
      </c>
    </row>
    <row r="29" spans="1:5" x14ac:dyDescent="0.3">
      <c r="A29" s="1" t="s">
        <v>141</v>
      </c>
      <c r="B29">
        <v>7520</v>
      </c>
      <c r="C29">
        <v>1411.86</v>
      </c>
      <c r="D29">
        <v>8442</v>
      </c>
      <c r="E29">
        <v>1550.66</v>
      </c>
    </row>
    <row r="30" spans="1:5" x14ac:dyDescent="0.3">
      <c r="A30" s="1" t="s">
        <v>142</v>
      </c>
      <c r="B30">
        <v>15595</v>
      </c>
      <c r="C30">
        <v>1448.55</v>
      </c>
      <c r="D30">
        <v>15575</v>
      </c>
      <c r="E30">
        <v>1416.07</v>
      </c>
    </row>
    <row r="31" spans="1:5" x14ac:dyDescent="0.3">
      <c r="A31" s="1" t="s">
        <v>134</v>
      </c>
      <c r="B31">
        <v>662901</v>
      </c>
      <c r="C31">
        <v>3914.98</v>
      </c>
      <c r="D31">
        <v>756338</v>
      </c>
      <c r="E31">
        <v>4369.1000000000004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31DF-9407-4FC7-ACCE-12FE6E85DFC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DF603D-4FEE-430F-8E5B-0FF84B879C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ejemplos</vt:lpstr>
      <vt:lpstr>chueca</vt:lpstr>
      <vt:lpstr>EscalaCalificaciones</vt:lpstr>
      <vt:lpstr>ETAS 2018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XAVIER MEDINA MENCOS</dc:creator>
  <cp:lastModifiedBy>EMILIO XAVIER MEDINA MENCOS</cp:lastModifiedBy>
  <dcterms:created xsi:type="dcterms:W3CDTF">2025-07-11T14:49:22Z</dcterms:created>
  <dcterms:modified xsi:type="dcterms:W3CDTF">2025-07-11T15:34:17Z</dcterms:modified>
</cp:coreProperties>
</file>